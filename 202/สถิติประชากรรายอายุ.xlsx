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426-202\"/>
    </mc:Choice>
  </mc:AlternateContent>
  <xr:revisionPtr revIDLastSave="0" documentId="8_{66256A80-46A6-4BC7-9DCA-46A4EF7362B0}" xr6:coauthVersionLast="47" xr6:coauthVersionMax="47" xr10:uidLastSave="{00000000-0000-0000-0000-000000000000}"/>
  <bookViews>
    <workbookView xWindow="-120" yWindow="-120" windowWidth="20730" windowHeight="1116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2" l="1"/>
  <c r="P26" i="2"/>
  <c r="Q26" i="2" s="1"/>
  <c r="N26" i="2"/>
  <c r="M26" i="2" s="1"/>
  <c r="P25" i="2"/>
  <c r="Q25" i="2" s="1"/>
  <c r="N25" i="2"/>
  <c r="M25" i="2" s="1"/>
  <c r="P24" i="2"/>
  <c r="Q24" i="2" s="1"/>
  <c r="N24" i="2"/>
  <c r="M24" i="2" s="1"/>
  <c r="P23" i="2"/>
  <c r="Q23" i="2" s="1"/>
  <c r="N23" i="2"/>
  <c r="M23" i="2" s="1"/>
  <c r="P22" i="2"/>
  <c r="Q22" i="2" s="1"/>
  <c r="N22" i="2"/>
  <c r="M22" i="2" s="1"/>
  <c r="P21" i="2"/>
  <c r="Q21" i="2" s="1"/>
  <c r="N21" i="2"/>
  <c r="M21" i="2" s="1"/>
  <c r="P20" i="2"/>
  <c r="Q20" i="2" s="1"/>
  <c r="N20" i="2"/>
  <c r="M20" i="2" s="1"/>
  <c r="P19" i="2"/>
  <c r="Q19" i="2" s="1"/>
  <c r="N19" i="2"/>
  <c r="M19" i="2" s="1"/>
  <c r="P18" i="2"/>
  <c r="Q18" i="2" s="1"/>
  <c r="N18" i="2"/>
  <c r="M18" i="2" s="1"/>
  <c r="P17" i="2"/>
  <c r="Q17" i="2" s="1"/>
  <c r="N17" i="2"/>
  <c r="M17" i="2" s="1"/>
  <c r="P16" i="2"/>
  <c r="Q16" i="2" s="1"/>
  <c r="N16" i="2"/>
  <c r="M16" i="2" s="1"/>
  <c r="P15" i="2"/>
  <c r="Q15" i="2" s="1"/>
  <c r="N15" i="2"/>
  <c r="M15" i="2" s="1"/>
  <c r="P14" i="2"/>
  <c r="Q14" i="2" s="1"/>
  <c r="N14" i="2"/>
  <c r="M14" i="2" s="1"/>
  <c r="P13" i="2"/>
  <c r="Q13" i="2" s="1"/>
  <c r="N13" i="2"/>
  <c r="M13" i="2" s="1"/>
  <c r="P12" i="2"/>
  <c r="Q12" i="2" s="1"/>
  <c r="N12" i="2"/>
  <c r="M12" i="2" s="1"/>
  <c r="P11" i="2"/>
  <c r="Q11" i="2" s="1"/>
  <c r="N11" i="2"/>
  <c r="M11" i="2" s="1"/>
  <c r="P10" i="2"/>
  <c r="Q10" i="2" s="1"/>
  <c r="N10" i="2"/>
  <c r="M10" i="2" s="1"/>
  <c r="P9" i="2"/>
  <c r="Q9" i="2" s="1"/>
  <c r="N9" i="2"/>
  <c r="M9" i="2" s="1"/>
  <c r="P8" i="2"/>
  <c r="Q8" i="2" s="1"/>
  <c r="N8" i="2"/>
  <c r="M8" i="2" s="1"/>
  <c r="P7" i="2"/>
  <c r="Q7" i="2" s="1"/>
  <c r="N7" i="2"/>
  <c r="M7" i="2" s="1"/>
  <c r="P6" i="2"/>
  <c r="P27" i="2" s="1"/>
  <c r="N6" i="2"/>
  <c r="Q6" i="2" l="1"/>
  <c r="N27" i="2"/>
</calcChain>
</file>

<file path=xl/sharedStrings.xml><?xml version="1.0" encoding="utf-8"?>
<sst xmlns="http://schemas.openxmlformats.org/spreadsheetml/2006/main" count="9964" uniqueCount="2622">
  <si>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</si>
  <si>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</si>
  <si>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</si>
  <si>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</si>
  <si>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</si>
  <si>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</si>
  <si>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</si>
  <si>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</si>
  <si>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</si>
  <si>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</si>
  <si>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</si>
  <si>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</si>
  <si>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</si>
  <si>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</si>
  <si>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</si>
  <si>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</si>
  <si>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</si>
  <si>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</si>
  <si>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</si>
  <si>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</si>
  <si>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</si>
  <si>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</si>
  <si>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</si>
  <si>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</si>
  <si>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</si>
  <si>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</si>
  <si>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</si>
  <si>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</si>
  <si>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</si>
  <si>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</si>
  <si>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</si>
  <si>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</si>
  <si>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</si>
  <si>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</si>
  <si>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</si>
  <si>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</si>
  <si>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</si>
  <si>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</si>
  <si>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</si>
  <si>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</si>
  <si>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</si>
  <si>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</si>
  <si>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</si>
  <si>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</si>
  <si>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</si>
  <si>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</si>
  <si>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</si>
  <si>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</si>
  <si>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</si>
  <si>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</si>
  <si>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</si>
  <si>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</si>
  <si>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</si>
  <si>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</si>
  <si>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</si>
  <si>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</si>
  <si>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</si>
  <si>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</si>
  <si>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</si>
  <si>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</si>
  <si>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</si>
  <si>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</si>
  <si>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</si>
  <si>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</si>
  <si>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</si>
  <si>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</si>
  <si>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</si>
  <si>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</si>
  <si>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</si>
  <si>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</si>
  <si>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</si>
  <si>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</si>
  <si>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</si>
  <si>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</si>
  <si>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</si>
  <si>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</si>
  <si>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</si>
  <si>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</si>
  <si>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</si>
  <si>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</si>
  <si>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</si>
  <si>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</si>
  <si>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</si>
  <si>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</si>
  <si>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</si>
  <si>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</si>
  <si>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</si>
  <si>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</si>
  <si>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</si>
  <si>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</si>
  <si>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</si>
  <si>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</si>
  <si>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</si>
  <si>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</si>
  <si>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</si>
  <si>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</si>
  <si>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</si>
  <si>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</si>
  <si>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</si>
  <si>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</si>
  <si>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</si>
  <si>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</si>
  <si>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</si>
  <si>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</si>
  <si>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</si>
  <si>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</si>
  <si>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</si>
  <si>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</si>
  <si>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</si>
  <si>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</si>
  <si>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</si>
  <si>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</si>
  <si>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</si>
  <si>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</si>
  <si>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</si>
  <si>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</si>
  <si>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</si>
  <si>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</si>
  <si>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</si>
  <si>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</si>
  <si>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</si>
  <si>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</si>
  <si>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</si>
  <si>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</si>
  <si>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</si>
  <si>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</si>
  <si>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</si>
  <si>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</si>
  <si>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</si>
  <si>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</si>
  <si>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</si>
  <si>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</si>
  <si>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</si>
  <si>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</si>
  <si>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</si>
  <si>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</si>
  <si>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</si>
  <si>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</si>
  <si>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</si>
  <si>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</si>
  <si>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</si>
  <si>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</si>
  <si>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</si>
  <si>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</si>
  <si>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</si>
  <si>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</si>
  <si>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</si>
  <si>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</si>
  <si>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</si>
  <si>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</si>
  <si>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</si>
  <si>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</si>
  <si>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</si>
  <si>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</si>
  <si>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</si>
  <si>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</si>
  <si>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</si>
  <si>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</si>
  <si>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</si>
  <si>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</si>
  <si>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</si>
  <si>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</si>
  <si>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</si>
  <si>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</si>
  <si>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</si>
  <si>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</si>
  <si>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</si>
  <si>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</si>
  <si>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</si>
  <si>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</si>
  <si>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</si>
  <si>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</si>
  <si>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</si>
  <si>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</si>
  <si>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</si>
  <si>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</si>
  <si>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</si>
  <si>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</si>
  <si>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</si>
  <si>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</si>
  <si>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</si>
  <si>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</si>
  <si>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</si>
  <si>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</si>
  <si>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</si>
  <si>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</si>
  <si>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</si>
  <si>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</si>
  <si>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</si>
  <si>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</si>
  <si>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</si>
  <si>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</si>
  <si>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</si>
  <si>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</si>
  <si>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</si>
  <si>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</si>
  <si>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</si>
  <si>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</si>
  <si>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</si>
  <si>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</si>
  <si>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</si>
  <si>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</si>
  <si>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</si>
  <si>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</si>
  <si>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</si>
  <si>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</si>
  <si>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</si>
  <si>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</si>
  <si>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</si>
  <si>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</si>
  <si>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</si>
  <si>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</si>
  <si>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</si>
  <si>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</si>
  <si>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</si>
  <si>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</si>
  <si>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</si>
  <si>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</si>
  <si>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</si>
  <si>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</si>
  <si>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</si>
  <si>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</si>
  <si>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</si>
  <si>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</si>
  <si>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</si>
  <si>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</si>
  <si>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</si>
  <si>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</si>
  <si>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</si>
  <si>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</si>
  <si>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</si>
  <si>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</si>
  <si>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</si>
  <si>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</si>
  <si>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</si>
  <si>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</si>
  <si>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</si>
  <si>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</si>
  <si>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</si>
  <si>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</si>
  <si>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</si>
  <si>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</si>
  <si>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</si>
  <si>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</si>
  <si>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</si>
  <si>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</si>
  <si>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</si>
  <si>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</si>
  <si>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</si>
  <si>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</si>
  <si>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</si>
  <si>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</si>
  <si>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</si>
  <si>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</si>
  <si>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</si>
  <si>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</si>
  <si>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</si>
  <si>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</si>
  <si>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</si>
  <si>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</si>
  <si>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</si>
  <si>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</si>
  <si>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</si>
  <si>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</si>
  <si>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</si>
  <si>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</si>
  <si>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</si>
  <si>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</si>
  <si>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</si>
  <si>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</si>
  <si>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</si>
  <si>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</si>
  <si>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</si>
  <si>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</si>
  <si>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</si>
  <si>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</si>
  <si>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</si>
  <si>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</si>
  <si>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</si>
  <si>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</si>
  <si>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</si>
  <si>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</si>
  <si>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</si>
  <si>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</si>
  <si>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</si>
  <si>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</si>
  <si>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</si>
  <si>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</si>
  <si>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</si>
  <si>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</si>
  <si>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</si>
  <si>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</si>
  <si>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</si>
  <si>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</si>
  <si>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</si>
  <si>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</si>
  <si>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</si>
  <si>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</si>
  <si>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</si>
  <si>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</si>
  <si>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</si>
  <si>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</si>
  <si>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</si>
  <si>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</si>
  <si>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</si>
  <si>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</si>
  <si>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</si>
  <si>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</si>
  <si>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</si>
  <si>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</si>
  <si>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</si>
  <si>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</si>
  <si>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</si>
  <si>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</si>
  <si>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</si>
  <si>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</si>
  <si>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</si>
  <si>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</si>
  <si>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</si>
  <si>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</si>
  <si>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</si>
  <si>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</si>
  <si>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</si>
  <si>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</si>
  <si>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</si>
  <si>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</si>
  <si>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</si>
  <si>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</si>
  <si>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</si>
  <si>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</si>
  <si>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</si>
  <si>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</si>
  <si>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</si>
  <si>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</si>
  <si>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</si>
  <si>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</si>
  <si>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</si>
  <si>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</si>
  <si>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</si>
  <si>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</si>
  <si>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</si>
  <si>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</si>
  <si>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</si>
  <si>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</si>
  <si>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</si>
  <si>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</si>
  <si>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</si>
  <si>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</si>
  <si>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</si>
  <si>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</si>
  <si>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</si>
  <si>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</si>
  <si>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</si>
  <si>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</si>
  <si>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</si>
  <si>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</si>
  <si>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</si>
  <si>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</si>
  <si>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</si>
  <si>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</si>
  <si>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</si>
  <si>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</si>
  <si>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</si>
  <si>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</si>
  <si>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</si>
  <si>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</si>
  <si>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</si>
  <si>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</si>
  <si>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</si>
  <si>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</si>
  <si>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</si>
  <si>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</si>
  <si>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</si>
  <si>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</si>
  <si>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</si>
  <si>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</si>
  <si>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</si>
  <si>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</si>
  <si>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</si>
  <si>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</si>
  <si>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</si>
  <si>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</si>
  <si>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</si>
  <si>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</si>
  <si>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</si>
  <si>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</si>
  <si>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</si>
  <si>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</si>
  <si>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</si>
  <si>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</si>
  <si>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</si>
  <si>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</si>
  <si>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</si>
  <si>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</si>
  <si>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</si>
  <si>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</si>
  <si>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</si>
  <si>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</si>
  <si>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</si>
  <si>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</si>
  <si>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</si>
  <si>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</si>
  <si>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</si>
  <si>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</si>
  <si>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</si>
  <si>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</si>
  <si>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</si>
  <si>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</si>
  <si>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</si>
  <si>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</si>
  <si>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</si>
  <si>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</si>
  <si>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</si>
  <si>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</si>
  <si>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</si>
  <si>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</si>
  <si>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</si>
  <si>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</si>
  <si>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</si>
  <si>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</si>
  <si>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</si>
  <si>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</si>
  <si>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</si>
  <si>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</si>
  <si>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</si>
  <si>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</si>
  <si>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</si>
  <si>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</si>
  <si>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</si>
  <si>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</si>
  <si>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</si>
  <si>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</si>
  <si>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</si>
  <si>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</si>
  <si>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</si>
  <si>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</si>
  <si>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</si>
  <si>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</si>
  <si>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</si>
  <si>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</si>
  <si>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</si>
  <si>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</si>
  <si>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</si>
  <si>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</si>
  <si>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</si>
  <si>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</si>
  <si>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</si>
  <si>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</si>
  <si>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</si>
  <si>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</si>
  <si>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</si>
  <si>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</si>
  <si>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</si>
  <si>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</si>
  <si>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</si>
  <si>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</si>
  <si>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</si>
  <si>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</si>
  <si>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</si>
  <si>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</si>
  <si>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</si>
  <si>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</si>
  <si>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</si>
  <si>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</si>
  <si>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</si>
  <si>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</si>
  <si>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</si>
  <si>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</si>
  <si>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</si>
  <si>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</si>
  <si>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</si>
  <si>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</si>
  <si>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</si>
  <si>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</si>
  <si>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</si>
  <si>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</si>
  <si>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</si>
  <si>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</si>
  <si>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</si>
  <si>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</si>
  <si>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</si>
  <si>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</si>
  <si>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</si>
  <si>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</si>
  <si>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</si>
  <si>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</si>
  <si>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</si>
  <si>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</si>
  <si>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</si>
  <si>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</si>
  <si>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</si>
  <si>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</si>
  <si>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</si>
  <si>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</si>
  <si>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</si>
  <si>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</si>
  <si>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</si>
  <si>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</si>
  <si>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</si>
  <si>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</si>
  <si>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</si>
  <si>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</si>
  <si>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</si>
  <si>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</si>
  <si>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</si>
  <si>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</si>
  <si>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</si>
  <si>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</si>
  <si>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</si>
  <si>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</si>
  <si>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</si>
  <si>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</si>
  <si>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</si>
  <si>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</si>
  <si>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</si>
  <si>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</si>
  <si>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</si>
  <si>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</si>
  <si>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</si>
  <si>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</si>
  <si>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</si>
  <si>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</si>
  <si>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</si>
  <si>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</si>
  <si>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</si>
  <si>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</si>
  <si>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</si>
  <si>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</si>
  <si>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</si>
  <si>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</si>
  <si>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</si>
  <si>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</si>
  <si>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</si>
  <si>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</si>
  <si>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</si>
  <si>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</si>
  <si>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</si>
  <si>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</si>
  <si>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</si>
  <si>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</si>
  <si>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</si>
  <si>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</si>
  <si>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</si>
  <si>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</si>
  <si>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</si>
  <si>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</si>
  <si>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</si>
  <si>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</si>
  <si>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</si>
  <si>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</si>
  <si>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</si>
  <si>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</si>
  <si>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</si>
  <si>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</si>
  <si>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</si>
  <si>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</si>
  <si>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</si>
  <si>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</si>
  <si>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</si>
  <si>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</si>
  <si>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</si>
  <si>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</si>
  <si>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</si>
  <si>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</si>
  <si>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</si>
  <si>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</si>
  <si>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</si>
  <si>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</si>
  <si>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</si>
  <si>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</si>
  <si>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</si>
  <si>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</si>
  <si>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</si>
  <si>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</si>
  <si>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</si>
  <si>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</si>
  <si>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</si>
  <si>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</si>
  <si>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</si>
  <si>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</si>
  <si>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</si>
  <si>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</si>
  <si>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</si>
  <si>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</si>
  <si>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</si>
  <si>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</si>
  <si>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</si>
  <si>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</si>
  <si>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</si>
  <si>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</si>
  <si>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</si>
  <si>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</si>
  <si>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</si>
  <si>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</si>
  <si>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</si>
  <si>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</si>
  <si>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</si>
  <si>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</si>
  <si>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</si>
  <si>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</si>
  <si>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</si>
  <si>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</si>
  <si>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</si>
  <si>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</si>
  <si>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</si>
  <si>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</si>
  <si>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</si>
  <si>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</si>
  <si>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</si>
  <si>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</si>
  <si>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</si>
  <si>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</si>
  <si>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</si>
  <si>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</si>
  <si>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</si>
  <si>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</si>
  <si>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</si>
  <si>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</si>
  <si>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</si>
  <si>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</si>
  <si>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</si>
  <si>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</si>
  <si>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</si>
  <si>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</si>
  <si>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</si>
  <si>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</si>
  <si>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</si>
  <si>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</si>
  <si>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</si>
  <si>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</si>
  <si>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</si>
  <si>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</si>
  <si>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</si>
  <si>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</si>
  <si>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</si>
  <si>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</si>
  <si>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</si>
  <si>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</si>
  <si>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</si>
  <si>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</si>
  <si>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</si>
  <si>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</si>
  <si>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</si>
  <si>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</si>
  <si>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</si>
  <si>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</si>
  <si>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</si>
  <si>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</si>
  <si>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</si>
  <si>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</si>
  <si>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</si>
  <si>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</si>
  <si>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</si>
  <si>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</si>
  <si>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</si>
  <si>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</si>
  <si>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</si>
  <si>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</si>
  <si>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</si>
  <si>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</si>
  <si>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</si>
  <si>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</si>
  <si>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</si>
  <si>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</si>
  <si>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</si>
  <si>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</si>
  <si>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</si>
  <si>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</si>
  <si>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</si>
  <si>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</si>
  <si>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</si>
  <si>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</si>
  <si>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</si>
  <si>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</si>
  <si>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</si>
  <si>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</si>
  <si>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</si>
  <si>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</si>
  <si>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</si>
  <si>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</si>
  <si>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</si>
  <si>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</si>
  <si>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</si>
  <si>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</si>
  <si>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</si>
  <si>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</si>
  <si>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</si>
  <si>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</si>
  <si>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</si>
  <si>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</si>
  <si>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</si>
  <si>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</si>
  <si>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</si>
  <si>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</si>
  <si>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</si>
  <si>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</si>
  <si>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</si>
  <si>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</si>
  <si>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</si>
  <si>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</si>
  <si>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</si>
  <si>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</si>
  <si>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</si>
  <si>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</si>
  <si>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</si>
  <si>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</si>
  <si>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</si>
  <si>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</si>
  <si>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</si>
  <si>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</si>
  <si>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</si>
  <si>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</si>
  <si>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</si>
  <si>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</si>
  <si>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</si>
  <si>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</si>
  <si>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</si>
  <si>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</si>
  <si>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</si>
  <si>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</si>
  <si>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</si>
  <si>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</si>
  <si>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</si>
  <si>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</si>
  <si>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</si>
  <si>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</si>
  <si>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</si>
  <si>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</si>
  <si>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</si>
  <si>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</si>
  <si>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</si>
  <si>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</si>
  <si>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</si>
  <si>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</si>
  <si>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</si>
  <si>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</si>
  <si>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</si>
  <si>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</si>
  <si>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</si>
  <si>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</si>
  <si>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</si>
  <si>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</si>
  <si>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</si>
  <si>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</si>
  <si>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</si>
  <si>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</si>
  <si>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</si>
  <si>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</si>
  <si>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</si>
  <si>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</si>
  <si>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</si>
  <si>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</si>
  <si>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</si>
  <si>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</si>
  <si>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</si>
  <si>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</si>
  <si>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</si>
  <si>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</si>
  <si>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</si>
  <si>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</si>
  <si>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</si>
  <si>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</si>
  <si>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</si>
  <si>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</si>
  <si>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</si>
  <si>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</si>
  <si>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</si>
  <si>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</si>
  <si>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</si>
  <si>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</si>
  <si>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</si>
  <si>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</si>
  <si>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</si>
  <si>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</si>
  <si>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</si>
  <si>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</si>
  <si>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</si>
  <si>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</si>
  <si>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</si>
  <si>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</si>
  <si>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</si>
  <si>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</si>
  <si>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</si>
  <si>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</si>
  <si>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</si>
  <si>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</si>
  <si>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</si>
  <si>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</si>
  <si>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</si>
  <si>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</si>
  <si>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</si>
  <si>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</si>
  <si>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</si>
  <si>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</si>
  <si>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</si>
  <si>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</si>
  <si>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</si>
  <si>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</si>
  <si>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</si>
  <si>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</si>
  <si>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</si>
  <si>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</si>
  <si>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</si>
  <si>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</si>
  <si>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</si>
  <si>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</si>
  <si>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</si>
  <si>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</si>
  <si>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</si>
  <si>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</si>
  <si>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</si>
  <si>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</si>
  <si>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</si>
  <si>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</si>
  <si>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</si>
  <si>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</si>
  <si>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</si>
  <si>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</si>
  <si>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</si>
  <si>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</si>
  <si>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</si>
  <si>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</si>
  <si>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</si>
  <si>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</si>
  <si>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</si>
  <si>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</si>
  <si>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</si>
  <si>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</si>
  <si>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</si>
  <si>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</si>
  <si>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</si>
  <si>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</si>
  <si>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</si>
  <si>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</si>
  <si>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</si>
  <si>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</si>
  <si>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</si>
  <si>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</si>
  <si>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</si>
  <si>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</si>
  <si>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</si>
  <si>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</si>
  <si>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</si>
  <si>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</si>
  <si>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</si>
  <si>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</si>
  <si>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</si>
  <si>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</si>
  <si>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</si>
  <si>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</si>
  <si>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</si>
  <si>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</si>
  <si>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</si>
  <si>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</si>
  <si>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</si>
  <si>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</si>
  <si>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</si>
  <si>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</si>
  <si>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</si>
  <si>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</si>
  <si>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</si>
  <si>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</si>
  <si>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</si>
  <si>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</si>
  <si>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</si>
  <si>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</si>
  <si>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</si>
  <si>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</si>
  <si>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</si>
  <si>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</si>
  <si>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</si>
  <si>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</si>
  <si>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</si>
  <si>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</si>
  <si>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</si>
  <si>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</si>
  <si>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</si>
  <si>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</si>
  <si>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</si>
  <si>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</si>
  <si>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</si>
  <si>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</si>
  <si>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</si>
  <si>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</si>
  <si>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</si>
  <si>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</si>
  <si>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</si>
  <si>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</si>
  <si>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</si>
  <si>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</si>
  <si>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</si>
  <si>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</si>
  <si>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</si>
  <si>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</si>
  <si>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</si>
  <si>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</si>
  <si>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</si>
  <si>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</si>
  <si>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</si>
  <si>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</si>
  <si>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</si>
  <si>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</si>
  <si>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</si>
  <si>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</si>
  <si>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</si>
  <si>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</si>
  <si>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</si>
  <si>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</si>
  <si>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</si>
  <si>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</si>
  <si>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</si>
  <si>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</si>
  <si>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</si>
  <si>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</si>
  <si>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</si>
  <si>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</si>
  <si>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</si>
  <si>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</si>
  <si>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</si>
  <si>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</si>
  <si>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</si>
  <si>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</si>
  <si>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</si>
  <si>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</si>
  <si>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</si>
  <si>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</si>
  <si>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</si>
  <si>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</si>
  <si>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</si>
  <si>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</si>
  <si>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</si>
  <si>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</si>
  <si>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</si>
  <si>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</si>
  <si>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</si>
  <si>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</si>
  <si>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</si>
  <si>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</si>
  <si>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</si>
  <si>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</si>
  <si>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</si>
  <si>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</si>
  <si>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</si>
  <si>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</si>
  <si>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</si>
  <si>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</si>
  <si>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</si>
  <si>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</si>
  <si>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</si>
  <si>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</si>
  <si>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</si>
  <si>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</si>
  <si>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</si>
  <si>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</si>
  <si>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</si>
  <si>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</si>
  <si>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</si>
  <si>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</si>
  <si>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</si>
  <si>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</si>
  <si>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</si>
  <si>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</si>
  <si>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</si>
  <si>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</si>
  <si>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</si>
  <si>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</si>
  <si>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</si>
  <si>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</si>
  <si>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</si>
  <si>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</si>
  <si>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</si>
  <si>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</si>
  <si>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</si>
  <si>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</si>
  <si>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</si>
  <si>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</si>
  <si>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</si>
  <si>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</si>
  <si>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</si>
  <si>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</si>
  <si>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</si>
  <si>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</si>
  <si>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</si>
  <si>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</si>
  <si>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</si>
  <si>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</si>
  <si>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</si>
  <si>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</si>
  <si>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</si>
  <si>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</si>
  <si>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</si>
  <si>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</si>
  <si>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</si>
  <si>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</si>
  <si>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</si>
  <si>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</si>
  <si>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</si>
  <si>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</si>
  <si>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</si>
  <si>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</si>
  <si>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</si>
  <si>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</si>
  <si>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</si>
  <si>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</si>
  <si>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</si>
  <si>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</si>
  <si>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</si>
  <si>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</si>
  <si>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</si>
  <si>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</si>
  <si>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</si>
  <si>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</si>
  <si>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</si>
  <si>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</si>
  <si>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</si>
  <si>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</si>
  <si>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</si>
  <si>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</si>
  <si>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</si>
  <si>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</si>
  <si>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</si>
  <si>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</si>
  <si>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</si>
  <si>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</si>
  <si>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</si>
  <si>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</si>
  <si>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</si>
  <si>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</si>
  <si>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</si>
  <si>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</si>
  <si>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</si>
  <si>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</si>
  <si>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</si>
  <si>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</si>
  <si>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</si>
  <si>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</si>
  <si>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</si>
  <si>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</si>
  <si>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</si>
  <si>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</si>
  <si>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</si>
  <si>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</si>
  <si>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</si>
  <si>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</si>
  <si>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</si>
  <si>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</si>
  <si>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</si>
  <si>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</si>
  <si>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</si>
  <si>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</si>
  <si>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</si>
  <si>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</si>
  <si>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</si>
  <si>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</si>
  <si>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</si>
  <si>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</si>
  <si>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</si>
  <si>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</si>
  <si>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</si>
  <si>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</si>
  <si>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</si>
  <si>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</si>
  <si>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</si>
  <si>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</si>
  <si>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</si>
  <si>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</si>
  <si>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</si>
  <si>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</si>
  <si>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</si>
  <si>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</si>
  <si>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</si>
  <si>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</si>
  <si>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</si>
  <si>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</si>
  <si>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</si>
  <si>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</si>
  <si>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</si>
  <si>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</si>
  <si>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</si>
  <si>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</si>
  <si>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</si>
  <si>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</si>
  <si>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</si>
  <si>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</si>
  <si>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</si>
  <si>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</si>
  <si>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</si>
  <si>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</si>
  <si>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</si>
  <si>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</si>
  <si>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</si>
  <si>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</si>
  <si>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</si>
  <si>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</si>
  <si>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</si>
  <si>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</si>
  <si>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</si>
  <si>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</si>
  <si>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</si>
  <si>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</si>
  <si>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</si>
  <si>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</si>
  <si>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</si>
  <si>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</si>
  <si>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</si>
  <si>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</si>
  <si>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</si>
  <si>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</si>
  <si>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</si>
  <si>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</si>
  <si>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</si>
  <si>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</si>
  <si>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</si>
  <si>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</si>
  <si>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</si>
  <si>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</si>
  <si>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</si>
  <si>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</si>
  <si>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</si>
  <si>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</si>
  <si>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</si>
  <si>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</si>
  <si>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</si>
  <si>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</si>
  <si>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</si>
  <si>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</si>
  <si>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</si>
  <si>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</si>
  <si>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</si>
  <si>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</si>
  <si>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</si>
  <si>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</si>
  <si>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</si>
  <si>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</si>
  <si>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</si>
  <si>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</si>
  <si>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</si>
  <si>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</si>
  <si>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</si>
  <si>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</si>
  <si>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</si>
  <si>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</si>
  <si>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</si>
  <si>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</si>
  <si>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</si>
  <si>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</si>
  <si>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</si>
  <si>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</si>
  <si>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</si>
  <si>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</si>
  <si>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</si>
  <si>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</si>
  <si>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</si>
  <si>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</si>
  <si>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</si>
  <si>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</si>
  <si>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</si>
  <si>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</si>
  <si>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</si>
  <si>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</si>
  <si>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</si>
  <si>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</si>
  <si>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</si>
  <si>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</si>
  <si>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</si>
  <si>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</si>
  <si>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</si>
  <si>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</si>
  <si>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</si>
  <si>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</si>
  <si>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</si>
  <si>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</si>
  <si>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</si>
  <si>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</si>
  <si>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</si>
  <si>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</si>
  <si>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</si>
  <si>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</si>
  <si>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</si>
  <si>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</si>
  <si>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</si>
  <si>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</si>
  <si>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</si>
  <si>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</si>
  <si>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</si>
  <si>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</si>
  <si>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</si>
  <si>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</si>
  <si>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</si>
  <si>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</si>
  <si>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</si>
  <si>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</si>
  <si>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</si>
  <si>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</si>
  <si>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</si>
  <si>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</si>
  <si>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</si>
  <si>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</si>
  <si>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</si>
  <si>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</si>
  <si>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</si>
  <si>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</si>
  <si>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</si>
  <si>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</si>
  <si>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</si>
  <si>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</si>
  <si>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</si>
  <si>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</si>
  <si>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</si>
  <si>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</si>
  <si>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</si>
  <si>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</si>
  <si>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</si>
  <si>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</si>
  <si>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</si>
  <si>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</si>
  <si>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</si>
  <si>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</si>
  <si>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</si>
  <si>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</si>
  <si>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</si>
  <si>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</si>
  <si>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</si>
  <si>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</si>
  <si>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</si>
  <si>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</si>
  <si>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</si>
  <si>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</si>
  <si>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</si>
  <si>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</si>
  <si>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</si>
  <si>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</si>
  <si>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</si>
  <si>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</si>
  <si>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</si>
  <si>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</si>
  <si>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</si>
  <si>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</si>
  <si>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</si>
  <si>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</si>
  <si>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</si>
  <si>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</si>
  <si>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</si>
  <si>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</si>
  <si>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</si>
  <si>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</si>
  <si>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</si>
  <si>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</si>
  <si>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</si>
  <si>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</si>
  <si>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</si>
  <si>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</si>
  <si>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</si>
  <si>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</si>
  <si>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</si>
  <si>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</si>
  <si>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</si>
  <si>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</si>
  <si>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</si>
  <si>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</si>
  <si>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</si>
  <si>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</si>
  <si>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</si>
  <si>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</si>
  <si>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</si>
  <si>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</si>
  <si>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</si>
  <si>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</si>
  <si>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</si>
  <si>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</si>
  <si>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</si>
  <si>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</si>
  <si>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</si>
  <si>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</si>
  <si>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</si>
  <si>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</si>
  <si>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</si>
  <si>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</si>
  <si>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</si>
  <si>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</si>
  <si>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</si>
  <si>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</si>
  <si>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</si>
  <si>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</si>
  <si>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</si>
  <si>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</si>
  <si>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</si>
  <si>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</si>
  <si>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</si>
  <si>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</si>
  <si>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</si>
  <si>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</si>
  <si>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</si>
  <si>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</si>
  <si>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</si>
  <si>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</si>
  <si>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</si>
  <si>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</si>
  <si>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</si>
  <si>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</si>
  <si>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</si>
  <si>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</si>
  <si>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</si>
  <si>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</si>
  <si>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</si>
  <si>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</si>
  <si>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</si>
  <si>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</si>
  <si>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</si>
  <si>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</si>
  <si>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</si>
  <si>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</si>
  <si>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</si>
  <si>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</si>
  <si>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</si>
  <si>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</si>
  <si>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</si>
  <si>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</si>
  <si>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</si>
  <si>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</si>
  <si>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</si>
  <si>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</si>
  <si>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</si>
  <si>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</si>
  <si>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</si>
  <si>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</si>
  <si>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</si>
  <si>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</si>
  <si>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</si>
  <si>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</si>
  <si>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</si>
  <si>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</si>
  <si>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</si>
  <si>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</si>
  <si>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</si>
  <si>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</si>
  <si>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</si>
  <si>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</si>
  <si>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</si>
  <si>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</si>
  <si>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</si>
  <si>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</si>
  <si>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</si>
  <si>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</si>
  <si>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</si>
  <si>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</si>
  <si>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</si>
  <si>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</si>
  <si>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</si>
  <si>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</si>
  <si>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</si>
  <si>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</si>
  <si>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</si>
  <si>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</si>
  <si>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</si>
  <si>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</si>
  <si>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</si>
  <si>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</si>
  <si>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</si>
  <si>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</si>
  <si>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</si>
  <si>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</si>
  <si>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</si>
  <si>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</si>
  <si>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</si>
  <si>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</si>
  <si>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</si>
  <si>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</si>
  <si>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</si>
  <si>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</si>
  <si>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</si>
  <si>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</si>
  <si>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</si>
  <si>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</si>
  <si>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</si>
  <si>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</si>
  <si>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</si>
  <si>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</si>
  <si>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</si>
  <si>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</si>
  <si>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</si>
  <si>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</si>
  <si>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</si>
  <si>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</si>
  <si>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</si>
  <si>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</si>
  <si>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</si>
  <si>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</si>
  <si>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</si>
  <si>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</si>
  <si>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</si>
  <si>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</si>
  <si>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</si>
  <si>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</si>
  <si>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</si>
  <si>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</si>
  <si>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</si>
  <si>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</si>
  <si>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</si>
  <si>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</si>
  <si>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</si>
  <si>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</si>
  <si>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</si>
  <si>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</si>
  <si>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</si>
  <si>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</si>
  <si>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</si>
  <si>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</si>
  <si>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</si>
  <si>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</si>
  <si>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</si>
  <si>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</si>
  <si>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</si>
  <si>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</si>
  <si>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</si>
  <si>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</si>
  <si>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</si>
  <si>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</si>
  <si>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</si>
  <si>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</si>
  <si>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</si>
  <si>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</si>
  <si>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</si>
  <si>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</si>
  <si>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</si>
  <si>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</si>
  <si>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</si>
  <si>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</si>
  <si>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</si>
  <si>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</si>
  <si>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</si>
  <si>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</si>
  <si>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</si>
  <si>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</si>
  <si>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</si>
  <si>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</si>
  <si>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</si>
  <si>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</si>
  <si>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</si>
  <si>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</si>
  <si>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</si>
  <si>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</si>
  <si>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</si>
  <si>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</si>
  <si>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</si>
  <si>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</si>
  <si>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</si>
  <si>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</si>
  <si>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</si>
  <si>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</si>
  <si>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</si>
  <si>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</si>
  <si>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</si>
  <si>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</si>
  <si>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</si>
  <si>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</si>
  <si>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</si>
  <si>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</si>
  <si>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</si>
  <si>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</si>
  <si>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</si>
  <si>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</si>
  <si>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</si>
  <si>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</si>
  <si>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</si>
  <si>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</si>
  <si>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</si>
  <si>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</si>
  <si>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</si>
  <si>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</si>
  <si>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</si>
  <si>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</si>
  <si>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</si>
  <si>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</si>
  <si>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</si>
  <si>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</si>
  <si>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</si>
  <si>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</si>
  <si>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</si>
  <si>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</si>
  <si>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</si>
  <si>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</si>
  <si>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</si>
  <si>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</si>
  <si>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</si>
  <si>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</si>
  <si>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</si>
  <si>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</si>
  <si>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</si>
  <si>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</si>
  <si>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</si>
  <si>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</si>
  <si>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</si>
  <si>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</si>
  <si>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</si>
  <si>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</si>
  <si>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</si>
  <si>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</si>
  <si>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</si>
  <si>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</si>
  <si>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</si>
  <si>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</si>
  <si>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</si>
  <si>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</si>
  <si>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</si>
  <si>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</si>
  <si>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</si>
  <si>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</si>
  <si>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</si>
  <si>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</si>
  <si>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</si>
  <si>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</si>
  <si>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</si>
  <si>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</si>
  <si>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</si>
  <si>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</si>
  <si>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</si>
  <si>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</si>
  <si>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</si>
  <si>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</si>
  <si>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</si>
  <si>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</si>
  <si>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</si>
  <si>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</si>
  <si>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</si>
  <si>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</si>
  <si>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</si>
  <si>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</si>
  <si>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</si>
  <si>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</si>
  <si>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</si>
  <si>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</si>
  <si>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</si>
  <si>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</si>
  <si>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</si>
  <si>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</si>
  <si>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</si>
  <si>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</si>
  <si>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</si>
  <si>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</si>
  <si>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</si>
  <si>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</si>
  <si>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</si>
  <si>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</si>
  <si>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</si>
  <si>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</si>
  <si>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</si>
  <si>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</si>
  <si>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</si>
  <si>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</si>
  <si>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</si>
  <si>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</si>
  <si>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</si>
  <si>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</si>
  <si>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</si>
  <si>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</si>
  <si>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</si>
  <si>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</si>
  <si>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</si>
  <si>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</si>
  <si>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</si>
  <si>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</si>
  <si>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</si>
  <si>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</si>
  <si>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</si>
  <si>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</si>
  <si>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</si>
  <si>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</si>
  <si>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</si>
  <si>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</si>
  <si>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</si>
  <si>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</si>
  <si>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</si>
  <si>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</si>
  <si>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</si>
  <si>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</si>
  <si>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</si>
  <si>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</si>
  <si>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</si>
  <si>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</si>
  <si>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</si>
  <si>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</si>
  <si>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</si>
  <si>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</si>
  <si>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</si>
  <si>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</si>
  <si>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</si>
  <si>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</si>
  <si>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</si>
  <si>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</si>
  <si>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</si>
  <si>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</si>
  <si>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</si>
  <si>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</si>
  <si>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</si>
  <si>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</si>
  <si>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</si>
  <si>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</si>
  <si>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</si>
  <si>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</si>
  <si>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</si>
  <si>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</si>
  <si>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</si>
  <si>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</si>
  <si>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</si>
  <si>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</si>
  <si>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</si>
  <si>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</si>
  <si>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</si>
  <si>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</si>
  <si>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</si>
  <si>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</si>
  <si>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</si>
  <si>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</si>
  <si>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</si>
  <si>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</si>
  <si>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</si>
  <si>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</si>
  <si>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</si>
  <si>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</si>
  <si>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</si>
  <si>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</si>
  <si>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</si>
  <si>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</si>
  <si>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</si>
  <si>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</si>
  <si>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</si>
  <si>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</si>
  <si>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</si>
  <si>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</si>
  <si>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</si>
  <si>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</si>
  <si>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</si>
  <si>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</si>
  <si>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</si>
  <si>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</si>
  <si>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</si>
  <si>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</si>
  <si>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</si>
  <si>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</si>
  <si>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</si>
  <si>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</si>
  <si>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</si>
  <si>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</si>
  <si>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</si>
  <si>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</si>
  <si>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</si>
  <si>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</si>
  <si>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</si>
  <si>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</si>
  <si>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</si>
  <si>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</si>
  <si>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</si>
  <si>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</si>
  <si>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</si>
  <si>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</si>
  <si>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</si>
  <si>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</si>
  <si>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</si>
  <si>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</si>
  <si>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</si>
  <si>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</si>
  <si>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</si>
  <si>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</si>
  <si>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</si>
  <si>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</si>
  <si>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</si>
  <si>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</si>
  <si>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</si>
  <si>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</si>
  <si>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</si>
  <si>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</si>
  <si>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</si>
  <si>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</si>
  <si>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</si>
  <si>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</si>
  <si>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</si>
  <si>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</si>
  <si>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</si>
  <si>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</si>
  <si>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</si>
  <si>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</si>
  <si>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</si>
  <si>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</si>
  <si>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</si>
  <si>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</si>
  <si>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</si>
  <si>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</si>
  <si>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</si>
  <si>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</si>
  <si>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</si>
  <si>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</si>
  <si>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</si>
  <si>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</si>
  <si>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</si>
  <si>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</si>
  <si>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</si>
  <si>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</si>
  <si>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</si>
  <si>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</si>
  <si>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</si>
  <si>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</si>
  <si>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</si>
  <si>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</si>
  <si>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</si>
  <si>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</si>
  <si>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</si>
  <si>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</si>
  <si>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</si>
  <si>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</si>
  <si>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</si>
  <si>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</si>
  <si>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</si>
  <si>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</si>
  <si>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</si>
  <si>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</si>
  <si>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</si>
  <si>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</si>
  <si>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</si>
  <si>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</si>
  <si>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</si>
  <si>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</si>
  <si>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</si>
  <si>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</si>
  <si>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</si>
  <si>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</si>
  <si>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</si>
  <si>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</si>
  <si>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</si>
  <si>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</si>
  <si>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</si>
  <si>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</si>
  <si>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</si>
  <si>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</si>
  <si>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</si>
  <si>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</si>
  <si>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</si>
  <si>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</si>
  <si>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</si>
  <si>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</si>
  <si>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</si>
  <si>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</si>
  <si>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</si>
  <si>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</si>
  <si>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</si>
  <si>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</si>
  <si>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</si>
  <si>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</si>
  <si>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</si>
  <si>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</si>
  <si>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</si>
  <si>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</si>
  <si>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</si>
  <si>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</si>
  <si>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</si>
  <si>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</si>
  <si>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</si>
  <si>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</si>
  <si>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</si>
  <si>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</si>
  <si>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</si>
  <si>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</si>
  <si>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</si>
  <si>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</si>
  <si>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</si>
  <si>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</si>
  <si>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</si>
  <si>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</si>
  <si>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</si>
  <si>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</si>
  <si>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</si>
  <si>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</si>
  <si>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</si>
  <si>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</si>
  <si>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</si>
  <si>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</si>
  <si>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</si>
  <si>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</si>
  <si>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</si>
  <si>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</si>
  <si>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</si>
  <si>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</si>
  <si>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</si>
  <si>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</si>
  <si>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</si>
  <si>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</si>
  <si>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</si>
  <si>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</si>
  <si>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</si>
  <si>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</si>
  <si>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</si>
  <si>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</si>
  <si>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</si>
  <si>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</si>
  <si>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</si>
  <si>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</si>
  <si>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</si>
  <si>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</si>
  <si>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</si>
  <si>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</si>
  <si>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</si>
  <si>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</si>
  <si>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</si>
  <si>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</si>
  <si>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</si>
  <si>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</si>
  <si>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</si>
  <si>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</si>
  <si>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</si>
  <si>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</si>
  <si>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</si>
  <si>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</si>
  <si>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</si>
  <si>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</si>
  <si>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</si>
  <si>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</si>
  <si>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</si>
  <si>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</si>
  <si>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</si>
  <si>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</si>
  <si>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</si>
  <si>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</si>
  <si>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</si>
  <si>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</si>
  <si>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</si>
  <si>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</si>
  <si>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</si>
  <si>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</si>
  <si>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</si>
  <si>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</si>
  <si>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</si>
  <si>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</si>
  <si>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</si>
  <si>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</si>
  <si>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</si>
  <si>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</si>
  <si>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</si>
  <si>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</si>
  <si>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</si>
  <si>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</si>
  <si>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</si>
  <si>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</si>
  <si>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</si>
  <si>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</si>
  <si>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</si>
  <si>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</si>
  <si>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</si>
  <si>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</si>
  <si>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</si>
  <si>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</si>
  <si>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</si>
  <si>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</si>
  <si>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</si>
  <si>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</si>
  <si>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</si>
  <si>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</si>
  <si>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</si>
  <si>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</si>
  <si>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</si>
  <si>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</si>
  <si>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</si>
  <si>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</si>
  <si>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</si>
  <si>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</si>
  <si>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</si>
  <si>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</si>
  <si>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</si>
  <si>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</si>
  <si>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</si>
  <si>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</si>
  <si>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</si>
  <si>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</si>
  <si>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</si>
  <si>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</si>
  <si>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</si>
  <si>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</si>
  <si>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</si>
  <si>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</si>
  <si>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</si>
  <si>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</si>
  <si>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</si>
  <si>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</si>
  <si>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</si>
  <si>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</si>
  <si>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</si>
  <si>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</si>
  <si>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</si>
  <si>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</si>
  <si>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</si>
  <si>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</si>
  <si>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</si>
  <si>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</si>
  <si>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</si>
  <si>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</si>
  <si>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</si>
  <si>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</si>
  <si>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</si>
  <si>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</si>
  <si>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</si>
  <si>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</si>
  <si>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</si>
  <si>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</si>
  <si>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</si>
  <si>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</si>
  <si>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</si>
  <si>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</si>
  <si>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</si>
  <si>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</si>
  <si>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</si>
  <si>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</si>
  <si>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</si>
  <si>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</si>
  <si>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</si>
  <si>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</si>
  <si>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</si>
  <si>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</si>
  <si>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</si>
  <si>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</si>
  <si>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</si>
  <si>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</si>
  <si>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</si>
  <si>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</si>
  <si>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</si>
  <si>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</si>
  <si>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</si>
  <si>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</si>
  <si>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</si>
  <si>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</si>
  <si>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</si>
  <si>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</si>
  <si>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</si>
  <si>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</si>
  <si>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</si>
  <si>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</si>
  <si>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</si>
  <si>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</si>
  <si>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</si>
  <si>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</si>
  <si>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</si>
  <si>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</si>
  <si>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</si>
  <si>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</si>
  <si>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</si>
  <si>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</si>
  <si>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</si>
  <si>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</si>
  <si>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</si>
  <si>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</si>
  <si>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</si>
  <si>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</si>
  <si>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</si>
  <si>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</si>
  <si>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</si>
  <si>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</si>
  <si>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</si>
  <si>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</si>
  <si>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</si>
  <si>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</si>
  <si>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</si>
  <si>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</si>
  <si>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</si>
  <si>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</si>
  <si>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</si>
  <si>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</si>
  <si>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</si>
  <si>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</si>
  <si>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</si>
  <si>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</si>
  <si>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</si>
  <si>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</si>
  <si>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</si>
  <si>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</si>
  <si>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</si>
  <si>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</si>
  <si>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</si>
  <si>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</si>
  <si>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</si>
  <si>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</si>
  <si>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</si>
  <si>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</si>
  <si>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</si>
  <si>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</si>
  <si>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</si>
  <si>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</si>
  <si>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</si>
  <si>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</si>
  <si>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</si>
  <si>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</si>
  <si>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</si>
  <si>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</si>
  <si>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</si>
  <si>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</si>
  <si>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</si>
  <si>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</si>
  <si>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</si>
  <si>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</si>
  <si>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</si>
  <si>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</si>
  <si>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</si>
  <si>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</si>
  <si>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</si>
  <si>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</si>
  <si>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</si>
  <si>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</si>
  <si>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</si>
  <si>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</si>
  <si>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</si>
  <si>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</si>
  <si>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</si>
  <si>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</si>
  <si>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</si>
  <si>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</si>
  <si>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</si>
  <si>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</si>
  <si>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</si>
  <si>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</si>
  <si>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</si>
  <si>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</si>
  <si>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</si>
  <si>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</si>
  <si>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</si>
  <si>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</si>
  <si>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</si>
  <si>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</si>
  <si>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</si>
  <si>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</si>
  <si>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</si>
  <si>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</si>
  <si>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</si>
  <si>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</si>
  <si>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</si>
  <si>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</si>
  <si>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</si>
  <si>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</si>
  <si>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</si>
  <si>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</si>
  <si>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</si>
  <si>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</si>
  <si>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</si>
  <si>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</si>
  <si>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</si>
  <si>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</si>
  <si>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</si>
  <si>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</si>
  <si>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</si>
  <si>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</si>
  <si>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</si>
  <si>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</si>
  <si>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</si>
  <si>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</si>
  <si>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</si>
  <si>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</si>
  <si>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</si>
  <si>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</si>
  <si>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</si>
  <si>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</si>
  <si>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</si>
  <si>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</si>
  <si>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</si>
  <si>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</si>
  <si>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</si>
  <si>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</si>
  <si>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</si>
  <si>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</si>
  <si>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</si>
  <si>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</si>
  <si>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</si>
  <si>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</si>
  <si>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</si>
  <si>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</si>
  <si>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</si>
  <si>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</si>
  <si>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</si>
  <si>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</si>
  <si>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</si>
  <si>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</si>
  <si>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</si>
  <si>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</si>
  <si>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</si>
  <si>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</si>
  <si>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</si>
  <si>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</si>
  <si>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</si>
  <si>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</si>
  <si>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</si>
  <si>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</si>
  <si>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</si>
  <si>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</si>
  <si>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</si>
  <si>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</si>
  <si>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</si>
  <si>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</si>
  <si>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</si>
  <si>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</si>
  <si>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</si>
  <si>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</si>
  <si>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</si>
  <si>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</si>
  <si>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</si>
  <si>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</si>
  <si>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</si>
  <si>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</si>
  <si>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</si>
  <si>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</si>
  <si>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</si>
  <si>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</si>
  <si>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</si>
  <si>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</si>
  <si>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</si>
  <si>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</si>
  <si>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</si>
  <si>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</si>
  <si>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</si>
  <si>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</si>
  <si>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</si>
  <si>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</si>
  <si>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</si>
  <si>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</si>
  <si>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</si>
  <si>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</si>
  <si>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</si>
  <si>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</si>
  <si>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</si>
  <si>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</si>
  <si>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</si>
  <si>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</si>
  <si>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</si>
  <si>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</si>
  <si>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</si>
  <si>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</si>
  <si>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</si>
  <si>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</si>
  <si>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</si>
  <si>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</si>
  <si>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</si>
  <si>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</si>
  <si>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</si>
  <si>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</si>
  <si>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</si>
  <si>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</si>
  <si>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</si>
  <si>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</si>
  <si>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</si>
  <si>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</si>
  <si>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</si>
  <si>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</si>
  <si>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</si>
  <si>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</si>
  <si>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</si>
  <si>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</si>
  <si>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</si>
  <si>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</si>
  <si>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</si>
  <si>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</si>
  <si>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</si>
  <si>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</si>
  <si>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</si>
  <si>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</si>
  <si>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</si>
  <si>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</si>
  <si>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</si>
  <si>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</si>
  <si>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</si>
  <si>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</si>
  <si>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</si>
  <si>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</si>
  <si>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</si>
  <si>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</si>
  <si>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</si>
  <si>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</si>
  <si>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</si>
  <si>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</si>
  <si>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</si>
  <si>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</si>
  <si>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</si>
  <si>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</si>
  <si>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</si>
  <si>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</si>
  <si>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</si>
  <si>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</si>
  <si>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</si>
  <si>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</si>
  <si>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</si>
  <si>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</si>
  <si>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</si>
  <si>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</si>
  <si>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</si>
  <si>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</si>
  <si>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</si>
  <si>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</si>
  <si>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</si>
  <si>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</si>
  <si>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</si>
  <si>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</si>
  <si>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</si>
  <si>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</si>
  <si>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</si>
  <si>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</si>
  <si>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</si>
  <si>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</si>
  <si>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</si>
  <si>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</si>
  <si>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</si>
  <si>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</si>
  <si>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</si>
  <si>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</si>
  <si>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</si>
  <si>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</si>
  <si>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</si>
  <si>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</si>
  <si>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</si>
  <si>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</si>
  <si>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</si>
  <si>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</si>
  <si>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</si>
  <si>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</si>
  <si>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</si>
  <si>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</si>
  <si>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</si>
  <si>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</si>
  <si>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</si>
  <si>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</si>
  <si>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</si>
  <si>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</si>
  <si>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</si>
  <si>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</si>
  <si>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</si>
  <si>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</si>
  <si>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</si>
  <si>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</si>
  <si>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</si>
  <si>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</si>
  <si>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</si>
  <si>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</si>
  <si>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</si>
  <si>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</si>
  <si>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</si>
  <si>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</si>
  <si>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</si>
  <si>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</si>
  <si>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</si>
  <si>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</si>
  <si>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</si>
  <si>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</si>
  <si>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</si>
  <si>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</si>
  <si>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</si>
  <si>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</si>
  <si>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</si>
  <si>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</si>
  <si>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</si>
  <si>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</si>
  <si>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</si>
  <si>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</si>
  <si>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</si>
  <si>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</si>
  <si>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</si>
  <si>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</si>
  <si>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</si>
  <si>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</si>
  <si>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</si>
  <si>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</si>
  <si>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</si>
  <si>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</si>
  <si>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</si>
  <si>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</si>
  <si>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</si>
  <si>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</si>
  <si>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</si>
  <si>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</si>
  <si>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</si>
  <si>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</si>
  <si>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</si>
  <si>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</si>
  <si>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</si>
  <si>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</si>
  <si>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</si>
  <si>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</si>
  <si>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</si>
  <si>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</si>
  <si>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</si>
  <si>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</si>
  <si>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</si>
  <si>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</si>
  <si>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</si>
  <si>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</si>
  <si>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</si>
  <si>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</si>
  <si>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</si>
  <si>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</si>
  <si>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</si>
  <si>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</si>
  <si>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</si>
  <si>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</si>
  <si>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</si>
  <si>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</si>
  <si>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</si>
  <si>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</si>
  <si>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</si>
  <si>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</si>
  <si>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</si>
  <si>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</si>
  <si>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</si>
  <si>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</si>
  <si>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</si>
  <si>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</si>
  <si>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</si>
  <si>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</si>
  <si>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</si>
  <si>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</si>
  <si>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</si>
  <si>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</si>
  <si>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</si>
  <si>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</si>
  <si>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</si>
  <si>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</si>
  <si>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</si>
  <si>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</si>
  <si>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</si>
  <si>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</si>
  <si>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</si>
  <si>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</si>
  <si>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</si>
  <si>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</si>
  <si>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</si>
  <si>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</si>
  <si>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</si>
  <si>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</si>
  <si>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</si>
  <si>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</si>
  <si>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</si>
  <si>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</si>
  <si>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</si>
  <si>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</si>
  <si>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</si>
  <si>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</si>
  <si>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</si>
  <si>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</si>
  <si>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</si>
  <si>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</si>
  <si>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</si>
  <si>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</si>
  <si>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</si>
  <si>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</si>
  <si>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</si>
  <si>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</si>
  <si>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</si>
  <si>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</si>
  <si>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</si>
  <si>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</si>
  <si>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</si>
  <si>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</si>
  <si>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</si>
  <si>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</si>
  <si>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</si>
  <si>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</si>
  <si>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</si>
  <si>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</si>
  <si>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</si>
  <si>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</si>
  <si>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</si>
  <si>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</si>
  <si>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</si>
  <si>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</si>
  <si>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</si>
  <si>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</si>
  <si>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</si>
  <si>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</si>
  <si>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</si>
  <si>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</si>
  <si>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</si>
  <si>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</si>
  <si>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</si>
  <si>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</si>
  <si>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</si>
  <si>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</si>
  <si>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</si>
  <si>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</si>
  <si>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</si>
  <si>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</si>
  <si>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</si>
  <si>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</si>
  <si>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</si>
  <si>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</si>
  <si>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</si>
  <si>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</si>
  <si>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</si>
  <si>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</si>
  <si>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</si>
  <si>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</si>
  <si>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</si>
  <si>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</si>
  <si>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</si>
  <si>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</si>
  <si>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</si>
  <si>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</si>
  <si>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</si>
  <si>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</si>
  <si>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</si>
  <si>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</si>
  <si>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</si>
  <si>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</si>
  <si>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</si>
  <si>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</si>
  <si>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</si>
  <si>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</si>
  <si>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</si>
  <si>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</si>
  <si>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</si>
  <si>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</si>
  <si>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</si>
  <si>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</si>
  <si>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</si>
  <si>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</si>
  <si>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</si>
  <si>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</si>
  <si>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</si>
  <si>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</si>
  <si>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</si>
  <si>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</si>
  <si>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</si>
  <si>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</si>
  <si>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</si>
  <si>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</si>
  <si>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</si>
  <si>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</si>
  <si>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</si>
  <si>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</si>
  <si>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</si>
  <si>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</si>
  <si>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</si>
  <si>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</si>
  <si>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</si>
  <si>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</si>
  <si>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</si>
  <si>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</si>
  <si>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</si>
  <si>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</si>
  <si>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</si>
  <si>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</si>
  <si>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</si>
  <si>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</si>
  <si>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</si>
  <si>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</si>
  <si>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</si>
  <si>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</si>
  <si>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</si>
  <si>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</si>
  <si>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</si>
  <si>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</si>
  <si>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</si>
  <si>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</si>
  <si>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</si>
  <si>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</si>
  <si>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</si>
  <si>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</si>
  <si>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</si>
  <si>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</si>
  <si>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</si>
  <si>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</si>
  <si>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</si>
  <si>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</si>
  <si>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</si>
  <si>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</si>
  <si>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</si>
  <si>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</si>
  <si>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</si>
  <si>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</si>
  <si>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</si>
  <si>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</si>
  <si>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</si>
  <si>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</si>
  <si>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</si>
  <si>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</si>
  <si>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</si>
  <si>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</si>
  <si>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</si>
  <si>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</si>
  <si>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</si>
  <si>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</si>
  <si>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</si>
  <si>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</si>
  <si>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</si>
  <si>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</si>
  <si>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</si>
  <si>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</si>
  <si>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</si>
  <si>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</si>
  <si>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</si>
  <si>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</si>
  <si>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</si>
  <si>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</si>
  <si>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</si>
  <si>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</si>
  <si>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</si>
  <si>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</si>
  <si>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</si>
  <si>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</si>
  <si>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</si>
  <si>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</si>
  <si>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</si>
  <si>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</si>
  <si>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</si>
  <si>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</si>
  <si>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</si>
  <si>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</si>
  <si>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</si>
  <si>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</si>
  <si>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</si>
  <si>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</si>
  <si>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</si>
  <si>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</si>
  <si>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</si>
  <si>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</si>
  <si>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</si>
  <si>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</si>
  <si>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</si>
  <si>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</si>
  <si>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</si>
  <si>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</si>
  <si>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</si>
  <si>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</si>
  <si>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</si>
  <si>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</si>
  <si>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</si>
  <si>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</si>
  <si>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</si>
  <si>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</si>
  <si>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</si>
  <si>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</si>
  <si>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</si>
  <si>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</si>
  <si>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</si>
  <si>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</si>
  <si>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</si>
  <si>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</si>
  <si>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</si>
  <si>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</si>
  <si>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</si>
  <si>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</si>
  <si>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</si>
  <si>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</si>
  <si>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</si>
  <si>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</si>
  <si>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</si>
  <si>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</si>
  <si>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</si>
  <si>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</si>
  <si>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</si>
  <si>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</si>
  <si>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</si>
  <si>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</si>
  <si>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</si>
  <si>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</si>
  <si>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</si>
  <si>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</si>
  <si>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</si>
  <si>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</si>
  <si>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</si>
  <si>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</si>
  <si>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</si>
  <si>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</si>
  <si>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</si>
  <si>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</si>
  <si>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</si>
  <si>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</si>
  <si>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</si>
  <si>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</si>
  <si>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</si>
  <si>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</si>
  <si>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</si>
  <si>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</si>
  <si>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</si>
  <si>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</si>
  <si>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</si>
  <si>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</si>
  <si>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</si>
  <si>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</si>
  <si>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</si>
  <si>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</si>
  <si>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</si>
  <si>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</si>
  <si>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</si>
  <si>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</si>
  <si>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</si>
  <si>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</si>
  <si>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</si>
  <si>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</si>
  <si>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</si>
  <si>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</si>
  <si>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</si>
  <si>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</si>
  <si>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</si>
  <si>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</si>
  <si>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</si>
  <si>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</si>
  <si>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</si>
  <si>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</si>
  <si>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</si>
  <si>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</si>
  <si>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</si>
  <si>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</si>
  <si>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</si>
  <si>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</si>
  <si>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</si>
  <si>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</si>
  <si>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</si>
  <si>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</si>
  <si>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</si>
  <si>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</si>
  <si>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</si>
  <si>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</si>
  <si>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</si>
  <si>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</si>
  <si>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</si>
  <si>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</si>
  <si>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</si>
  <si>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</si>
  <si>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</si>
  <si>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</si>
  <si>
    <t>0.4</t>
  </si>
  <si>
    <t>นางสาว ลาตีฟะห์ ลาดอ 6820210578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</si>
</sst>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1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Sheet2!$M$5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Sheet2!$L$6:$L$26</c:f>
              <c:strCache>
                <c:ptCount val="21"/>
                <c:pt idx="0">
                  <c:v>0.4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Sheet2!$M$6:$M$26</c:f>
              <c:numCache>
                <c:formatCode>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9-4417-A78A-418435160061}"/>
            </c:ext>
          </c:extLst>
        </c:ser>
        <c:ser>
          <c:idx val="1"/>
          <c:order val="1"/>
          <c:tx>
            <c:strRef>
              <c:f>Sheet2!$N$5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Sheet2!$L$6:$L$26</c:f>
              <c:strCache>
                <c:ptCount val="21"/>
                <c:pt idx="0">
                  <c:v>0.4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9-4417-A78A-418435160061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Sheet2!$L$6:$L$26</c:f>
              <c:strCache>
                <c:ptCount val="21"/>
                <c:pt idx="0">
                  <c:v>0.4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Sheet2!$P$6:$P$26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9-4417-A78A-418435160061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Sheet2!$L$6:$L$26</c:f>
              <c:strCache>
                <c:ptCount val="21"/>
                <c:pt idx="0">
                  <c:v>0.4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9-4417-A78A-418435160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"/>
        <c:overlap val="100"/>
        <c:axId val="817490848"/>
        <c:axId val="817487104"/>
      </c:barChart>
      <c:catAx>
        <c:axId val="81749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17487104"/>
        <c:crosses val="autoZero"/>
        <c:auto val="1"/>
        <c:lblAlgn val="ctr"/>
        <c:lblOffset val="100"/>
        <c:noMultiLvlLbl val="0"/>
      </c:catAx>
      <c:valAx>
        <c:axId val="81748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1749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Sheet2!$M$5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Sheet2!$M$6:$M$26</c:f>
              <c:numCache>
                <c:formatCode>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A-4DC7-A6B2-A78D9AA7D4DF}"/>
            </c:ext>
          </c:extLst>
        </c:ser>
        <c:ser>
          <c:idx val="1"/>
          <c:order val="1"/>
          <c:tx>
            <c:strRef>
              <c:f>Sheet2!$N$5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A-4DC7-A6B2-A78D9AA7D4DF}"/>
            </c:ext>
          </c:extLst>
        </c:ser>
        <c:ser>
          <c:idx val="2"/>
          <c:order val="2"/>
          <c:tx>
            <c:strRef>
              <c:f>Sheet2!$O$5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C24D139-6949-407B-B115-D260D1510B4F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0BA-4DC7-A6B2-A78D9AA7D4D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FE28A7-4190-4EF3-8977-B190A1B2819D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0BA-4DC7-A6B2-A78D9AA7D4D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1264119-A1E4-4AA0-9340-101621E3E28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0BA-4DC7-A6B2-A78D9AA7D4D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3EB1D5A-49ED-49AE-8610-6C9761EDB7E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0BA-4DC7-A6B2-A78D9AA7D4D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FE851C-91B7-4E58-A961-5EE04C687A99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0BA-4DC7-A6B2-A78D9AA7D4D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285D01E-B910-4032-BB98-BED59BB91F01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0BA-4DC7-A6B2-A78D9AA7D4D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352BE2-3EF1-427A-B81D-31FBEB7528F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0BA-4DC7-A6B2-A78D9AA7D4D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7CF0A75-15F7-4797-A97A-3C354572BCDA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0BA-4DC7-A6B2-A78D9AA7D4D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C42F530-DED1-4FFB-9667-C70BC563DC7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0BA-4DC7-A6B2-A78D9AA7D4D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F66775-A0CB-4770-AC70-A223439C6F1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0BA-4DC7-A6B2-A78D9AA7D4D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A78E807-8FF7-4EE1-8005-2CC03BAC707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0BA-4DC7-A6B2-A78D9AA7D4D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F1663EA-BAF0-4D55-829C-88E04BC4AB4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0BA-4DC7-A6B2-A78D9AA7D4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89F78E2-716B-4792-8249-B06B3988AE86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0BA-4DC7-A6B2-A78D9AA7D4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8A512C-3F2B-4E44-A025-AC277FFABCC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0BA-4DC7-A6B2-A78D9AA7D4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E1CEF31-4930-4D26-87E2-08AEA36EC8A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0BA-4DC7-A6B2-A78D9AA7D4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35FA24B-B499-430C-8659-D1D49A549B3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0BA-4DC7-A6B2-A78D9AA7D4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6570FA5-235E-46DD-8438-6A2ED1166F3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0BA-4DC7-A6B2-A78D9AA7D4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8F34A84-4F9A-4AEF-98F7-C5C5A83D344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0BA-4DC7-A6B2-A78D9AA7D4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6A98AE7-9947-42D7-B736-87CECA81403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0BA-4DC7-A6B2-A78D9AA7D4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B17CB68-5AEB-4F20-8F6F-98B26169797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0BA-4DC7-A6B2-A78D9AA7D4D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AB4359D-EB90-451A-B4A8-931F738A66F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0BA-4DC7-A6B2-A78D9AA7D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Sheet2!$O$6:$O$26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Sheet2!$L$6:$L$26</c15:f>
                <c15:dlblRangeCache>
                  <c:ptCount val="21"/>
                  <c:pt idx="0">
                    <c:v>0.4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0BA-4DC7-A6B2-A78D9AA7D4DF}"/>
            </c:ext>
          </c:extLst>
        </c:ser>
        <c:ser>
          <c:idx val="3"/>
          <c:order val="3"/>
          <c:tx>
            <c:strRef>
              <c:f>Sheet2!$P$5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Sheet2!$P$6:$P$26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BA-4DC7-A6B2-A78D9AA7D4DF}"/>
            </c:ext>
          </c:extLst>
        </c:ser>
        <c:ser>
          <c:idx val="4"/>
          <c:order val="4"/>
          <c:tx>
            <c:strRef>
              <c:f>Sheet2!$Q$5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BA-4DC7-A6B2-A78D9AA7D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033583680"/>
        <c:axId val="1033584512"/>
      </c:barChart>
      <c:catAx>
        <c:axId val="103358368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33584512"/>
        <c:crosses val="autoZero"/>
        <c:auto val="1"/>
        <c:lblAlgn val="ctr"/>
        <c:lblOffset val="100"/>
        <c:noMultiLvlLbl val="0"/>
      </c:catAx>
      <c:valAx>
        <c:axId val="103358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03358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5</xdr:row>
      <xdr:rowOff>9524</xdr:rowOff>
    </xdr:from>
    <xdr:to>
      <xdr:col>26</xdr:col>
      <xdr:colOff>28575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4623E-A572-4206-AAE2-BBAB757A7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309563</xdr:colOff>
      <xdr:row>27</xdr:row>
      <xdr:rowOff>107156</xdr:rowOff>
    </xdr:from>
    <xdr:to>
      <xdr:col>26</xdr:col>
      <xdr:colOff>-1</xdr:colOff>
      <xdr:row>48</xdr:row>
      <xdr:rowOff>130968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6D8741-1069-4C0E-B96B-BAFC686CA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D2215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Q109"/>
  <sheetViews>
    <sheetView tabSelected="1" topLeftCell="J43" zoomScale="90" zoomScaleNormal="90" workbookViewId="0">
      <selection activeCell="L46" sqref="L46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3" width="11.25" style="9" customWidth="1"/>
  </cols>
  <sheetData>
    <row r="1" spans="1:17" ht="13.5" customHeight="1" x14ac:dyDescent="0.2">
      <c r="A1" s="11" t="s">
        <v>2478</v>
      </c>
      <c r="B1" s="11"/>
      <c r="C1" s="11"/>
      <c r="D1" s="11"/>
      <c r="E1" s="11"/>
      <c r="F1" s="11"/>
      <c r="G1" s="11"/>
      <c r="H1" s="11"/>
      <c r="I1" s="11"/>
      <c r="J1" s="11"/>
    </row>
    <row r="2" spans="1:17" x14ac:dyDescent="0.2">
      <c r="A2" s="11" t="s">
        <v>2479</v>
      </c>
      <c r="B2" s="11"/>
      <c r="C2" s="11"/>
      <c r="D2" s="11"/>
      <c r="E2" s="11"/>
      <c r="F2" s="11"/>
      <c r="G2" s="11"/>
      <c r="H2" s="11"/>
      <c r="I2" s="11"/>
      <c r="J2" s="11"/>
    </row>
    <row r="3" spans="1:17" x14ac:dyDescent="0.2">
      <c r="A3" s="11" t="s">
        <v>2480</v>
      </c>
      <c r="B3" s="11"/>
      <c r="C3" s="11"/>
      <c r="D3" s="11"/>
      <c r="E3" s="11"/>
      <c r="F3" s="11"/>
      <c r="G3" s="11"/>
      <c r="H3" s="11"/>
      <c r="I3" s="11"/>
      <c r="J3" s="11"/>
    </row>
    <row r="4" spans="1:17" x14ac:dyDescent="0.2">
      <c r="A4" s="11" t="s">
        <v>2481</v>
      </c>
      <c r="B4" s="11"/>
      <c r="C4" s="11"/>
      <c r="D4" s="11"/>
      <c r="E4" s="11"/>
      <c r="F4" s="11"/>
      <c r="G4" s="11"/>
      <c r="H4" s="11"/>
      <c r="I4" s="11"/>
      <c r="J4" s="11"/>
    </row>
    <row r="5" spans="1:17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M5" s="10" t="s">
        <v>2618</v>
      </c>
      <c r="N5" t="s">
        <v>2492</v>
      </c>
      <c r="P5" t="s">
        <v>2493</v>
      </c>
      <c r="Q5" t="s">
        <v>2619</v>
      </c>
    </row>
    <row r="6" spans="1:17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L6" s="7" t="s">
        <v>2620</v>
      </c>
      <c r="M6" s="9">
        <f>34000-N6</f>
        <v>5487</v>
      </c>
      <c r="N6" s="8">
        <f>SUM(H7:H11)</f>
        <v>28513</v>
      </c>
      <c r="O6" s="8">
        <v>6000</v>
      </c>
      <c r="P6" s="8">
        <f>SUM(I7:I11)</f>
        <v>26902</v>
      </c>
      <c r="Q6" s="8">
        <f>34000-P6</f>
        <v>7098</v>
      </c>
    </row>
    <row r="7" spans="1:17" x14ac:dyDescent="0.2">
      <c r="A7" s="5" t="s">
        <v>2495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L7" s="7" t="s">
        <v>2496</v>
      </c>
      <c r="M7" s="9">
        <f t="shared" ref="M7:M26" si="0">34000-N7</f>
        <v>2370</v>
      </c>
      <c r="N7" s="8">
        <f>SUM(H12:H16)</f>
        <v>31630</v>
      </c>
      <c r="O7" s="8">
        <v>6000</v>
      </c>
      <c r="P7" s="8">
        <f>SUM(I12:I16)</f>
        <v>30208</v>
      </c>
      <c r="Q7" s="8">
        <f t="shared" ref="Q7:Q26" si="1">34000-P7</f>
        <v>3792</v>
      </c>
    </row>
    <row r="8" spans="1:17" x14ac:dyDescent="0.2">
      <c r="A8" s="5" t="s">
        <v>2497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L8" s="7" t="s">
        <v>2498</v>
      </c>
      <c r="M8" s="9">
        <f t="shared" si="0"/>
        <v>457</v>
      </c>
      <c r="N8" s="8">
        <f>SUM(H17:H21)</f>
        <v>33543</v>
      </c>
      <c r="O8" s="8">
        <v>6000</v>
      </c>
      <c r="P8" s="8">
        <f>SUM(I17:I21)</f>
        <v>31738</v>
      </c>
      <c r="Q8" s="8">
        <f t="shared" si="1"/>
        <v>2262</v>
      </c>
    </row>
    <row r="9" spans="1:17" x14ac:dyDescent="0.2">
      <c r="A9" s="5" t="s">
        <v>2499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L9" s="7" t="s">
        <v>2500</v>
      </c>
      <c r="M9" s="9">
        <f t="shared" si="0"/>
        <v>2472</v>
      </c>
      <c r="N9" s="8">
        <f>SUM(H22:H26)</f>
        <v>31528</v>
      </c>
      <c r="O9" s="8">
        <v>6000</v>
      </c>
      <c r="P9" s="8">
        <f>SUM(I22:I26)</f>
        <v>30184</v>
      </c>
      <c r="Q9" s="8">
        <f t="shared" si="1"/>
        <v>3816</v>
      </c>
    </row>
    <row r="10" spans="1:17" x14ac:dyDescent="0.2">
      <c r="A10" s="5" t="s">
        <v>2501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L10" s="7" t="s">
        <v>2502</v>
      </c>
      <c r="M10" s="9">
        <f t="shared" si="0"/>
        <v>2627</v>
      </c>
      <c r="N10" s="8">
        <f>SUM(H27:H31)</f>
        <v>31373</v>
      </c>
      <c r="O10" s="8">
        <v>6000</v>
      </c>
      <c r="P10" s="8">
        <f>SUM(I27:I31)</f>
        <v>29258</v>
      </c>
      <c r="Q10" s="8">
        <f t="shared" si="1"/>
        <v>4742</v>
      </c>
    </row>
    <row r="11" spans="1:17" x14ac:dyDescent="0.2">
      <c r="A11" s="5" t="s">
        <v>2503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L11" s="7" t="s">
        <v>2504</v>
      </c>
      <c r="M11" s="9">
        <f t="shared" si="0"/>
        <v>2310</v>
      </c>
      <c r="N11" s="8">
        <f>SUM(H32:H36)</f>
        <v>31690</v>
      </c>
      <c r="O11" s="8">
        <v>6000</v>
      </c>
      <c r="P11" s="8">
        <f>SUM(I32:I36)</f>
        <v>30286</v>
      </c>
      <c r="Q11" s="8">
        <f t="shared" si="1"/>
        <v>3714</v>
      </c>
    </row>
    <row r="12" spans="1:17" x14ac:dyDescent="0.2">
      <c r="A12" s="5" t="s">
        <v>2505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L12" s="7" t="s">
        <v>2506</v>
      </c>
      <c r="M12" s="9">
        <f t="shared" si="0"/>
        <v>4241</v>
      </c>
      <c r="N12" s="8">
        <f>SUM(H37:H41)</f>
        <v>29759</v>
      </c>
      <c r="O12" s="8">
        <v>6000</v>
      </c>
      <c r="P12" s="8">
        <f>SUM(I37:I41)</f>
        <v>28086</v>
      </c>
      <c r="Q12" s="8">
        <f t="shared" si="1"/>
        <v>5914</v>
      </c>
    </row>
    <row r="13" spans="1:17" x14ac:dyDescent="0.2">
      <c r="A13" s="5" t="s">
        <v>2507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L13" s="7" t="s">
        <v>2508</v>
      </c>
      <c r="M13" s="9">
        <f t="shared" si="0"/>
        <v>7466</v>
      </c>
      <c r="N13" s="8">
        <f>SUM(H42:H46)</f>
        <v>26534</v>
      </c>
      <c r="O13" s="8">
        <v>6000</v>
      </c>
      <c r="P13" s="8">
        <f>SUM(I42:I46)</f>
        <v>25869</v>
      </c>
      <c r="Q13" s="8">
        <f t="shared" si="1"/>
        <v>8131</v>
      </c>
    </row>
    <row r="14" spans="1:17" x14ac:dyDescent="0.2">
      <c r="A14" s="5" t="s">
        <v>2509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L14" s="7" t="s">
        <v>2510</v>
      </c>
      <c r="M14" s="9">
        <f t="shared" si="0"/>
        <v>10846</v>
      </c>
      <c r="N14" s="8">
        <f>SUM(H47:H51)</f>
        <v>23154</v>
      </c>
      <c r="O14" s="8">
        <v>6000</v>
      </c>
      <c r="P14" s="8">
        <f>SUM(I47:I51)</f>
        <v>22985</v>
      </c>
      <c r="Q14" s="8">
        <f t="shared" si="1"/>
        <v>11015</v>
      </c>
    </row>
    <row r="15" spans="1:17" x14ac:dyDescent="0.2">
      <c r="A15" s="5" t="s">
        <v>2511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L15" s="7" t="s">
        <v>2512</v>
      </c>
      <c r="M15" s="9">
        <f t="shared" si="0"/>
        <v>13848</v>
      </c>
      <c r="N15" s="8">
        <f>SUM(H52:H56)</f>
        <v>20152</v>
      </c>
      <c r="O15" s="8">
        <v>6000</v>
      </c>
      <c r="P15" s="8">
        <f>SUM(I52:I56)</f>
        <v>21505</v>
      </c>
      <c r="Q15" s="8">
        <f t="shared" si="1"/>
        <v>12495</v>
      </c>
    </row>
    <row r="16" spans="1:17" x14ac:dyDescent="0.2">
      <c r="A16" s="5" t="s">
        <v>2513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L16" s="7" t="s">
        <v>2514</v>
      </c>
      <c r="M16" s="9">
        <f t="shared" si="0"/>
        <v>14989</v>
      </c>
      <c r="N16" s="8">
        <f>SUM(H57:H61)</f>
        <v>19011</v>
      </c>
      <c r="O16" s="8">
        <v>6000</v>
      </c>
      <c r="P16" s="8">
        <f>SUM(I57:I61)</f>
        <v>20447</v>
      </c>
      <c r="Q16" s="8">
        <f t="shared" si="1"/>
        <v>13553</v>
      </c>
    </row>
    <row r="17" spans="1:17" x14ac:dyDescent="0.2">
      <c r="A17" s="5" t="s">
        <v>2515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L17" s="7" t="s">
        <v>2516</v>
      </c>
      <c r="M17" s="9">
        <f t="shared" si="0"/>
        <v>17075</v>
      </c>
      <c r="N17" s="8">
        <f>SUM(H62:H66)</f>
        <v>16925</v>
      </c>
      <c r="O17" s="8">
        <v>6000</v>
      </c>
      <c r="P17" s="8">
        <f>SUM(I62:I66)</f>
        <v>19340</v>
      </c>
      <c r="Q17" s="8">
        <f t="shared" si="1"/>
        <v>14660</v>
      </c>
    </row>
    <row r="18" spans="1:17" x14ac:dyDescent="0.2">
      <c r="A18" s="5" t="s">
        <v>2517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L18" s="7" t="s">
        <v>2518</v>
      </c>
      <c r="M18" s="9">
        <f t="shared" si="0"/>
        <v>19978</v>
      </c>
      <c r="N18" s="8">
        <f>SUM(H67:H71)</f>
        <v>14022</v>
      </c>
      <c r="O18" s="8">
        <v>6000</v>
      </c>
      <c r="P18" s="8">
        <f>SUM(I67:I71)</f>
        <v>17188</v>
      </c>
      <c r="Q18" s="8">
        <f t="shared" si="1"/>
        <v>16812</v>
      </c>
    </row>
    <row r="19" spans="1:17" x14ac:dyDescent="0.2">
      <c r="A19" s="5" t="s">
        <v>2519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L19" s="7" t="s">
        <v>2520</v>
      </c>
      <c r="M19" s="9">
        <f t="shared" si="0"/>
        <v>24804</v>
      </c>
      <c r="N19" s="8">
        <f>SUM(H72:H76)</f>
        <v>9196</v>
      </c>
      <c r="O19" s="8">
        <v>6000</v>
      </c>
      <c r="P19" s="8">
        <f>SUM(I72:I76)</f>
        <v>11761</v>
      </c>
      <c r="Q19" s="8">
        <f t="shared" si="1"/>
        <v>22239</v>
      </c>
    </row>
    <row r="20" spans="1:17" x14ac:dyDescent="0.2">
      <c r="A20" s="5" t="s">
        <v>2521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L20" s="7" t="s">
        <v>2522</v>
      </c>
      <c r="M20" s="9">
        <f t="shared" si="0"/>
        <v>26240</v>
      </c>
      <c r="N20" s="8">
        <f>SUM(H77:H81)</f>
        <v>7760</v>
      </c>
      <c r="O20" s="8">
        <v>6000</v>
      </c>
      <c r="P20" s="8">
        <f>SUM(I77:I81)</f>
        <v>10368</v>
      </c>
      <c r="Q20" s="8">
        <f t="shared" si="1"/>
        <v>23632</v>
      </c>
    </row>
    <row r="21" spans="1:17" x14ac:dyDescent="0.2">
      <c r="A21" s="5" t="s">
        <v>2523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L21" s="7" t="s">
        <v>2524</v>
      </c>
      <c r="M21" s="9">
        <f t="shared" si="0"/>
        <v>29151</v>
      </c>
      <c r="N21" s="8">
        <f>SUM(H82:H86)</f>
        <v>4849</v>
      </c>
      <c r="O21" s="8">
        <v>6000</v>
      </c>
      <c r="P21" s="8">
        <f>SUM(I82:I86)</f>
        <v>6806</v>
      </c>
      <c r="Q21" s="8">
        <f t="shared" si="1"/>
        <v>27194</v>
      </c>
    </row>
    <row r="22" spans="1:17" x14ac:dyDescent="0.2">
      <c r="A22" s="5" t="s">
        <v>2525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L22" s="7" t="s">
        <v>2526</v>
      </c>
      <c r="M22" s="9">
        <f t="shared" si="0"/>
        <v>31044</v>
      </c>
      <c r="N22">
        <f>SUM(H87:H91)</f>
        <v>2956</v>
      </c>
      <c r="O22" s="8">
        <v>6000</v>
      </c>
      <c r="P22">
        <f>SUM(I87:I91)</f>
        <v>4717</v>
      </c>
      <c r="Q22" s="8">
        <f t="shared" si="1"/>
        <v>29283</v>
      </c>
    </row>
    <row r="23" spans="1:17" x14ac:dyDescent="0.2">
      <c r="A23" s="5" t="s">
        <v>2527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L23" s="7" t="s">
        <v>2528</v>
      </c>
      <c r="M23" s="9">
        <f t="shared" si="0"/>
        <v>32103</v>
      </c>
      <c r="N23">
        <f>SUM(H92:H96)</f>
        <v>1897</v>
      </c>
      <c r="O23" s="8">
        <v>6000</v>
      </c>
      <c r="P23">
        <f>SUM(I92:I96)</f>
        <v>3535</v>
      </c>
      <c r="Q23" s="8">
        <f t="shared" si="1"/>
        <v>30465</v>
      </c>
    </row>
    <row r="24" spans="1:17" x14ac:dyDescent="0.2">
      <c r="A24" s="5" t="s">
        <v>2529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L24" s="7" t="s">
        <v>2530</v>
      </c>
      <c r="M24" s="9">
        <f t="shared" si="0"/>
        <v>32945</v>
      </c>
      <c r="N24">
        <f>SUM(H97:H101)</f>
        <v>1055</v>
      </c>
      <c r="O24" s="8">
        <v>6000</v>
      </c>
      <c r="P24">
        <f>SUM(I97:I101)</f>
        <v>1700</v>
      </c>
      <c r="Q24" s="8">
        <f t="shared" si="1"/>
        <v>32300</v>
      </c>
    </row>
    <row r="25" spans="1:17" x14ac:dyDescent="0.2">
      <c r="A25" s="5" t="s">
        <v>2531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L25" s="7" t="s">
        <v>2532</v>
      </c>
      <c r="M25" s="9">
        <f t="shared" si="0"/>
        <v>33500</v>
      </c>
      <c r="N25">
        <f>SUM(H102:H106)</f>
        <v>500</v>
      </c>
      <c r="O25" s="8">
        <v>6000</v>
      </c>
      <c r="P25">
        <f>SUM(I102:I106)</f>
        <v>836</v>
      </c>
      <c r="Q25" s="8">
        <f t="shared" si="1"/>
        <v>33164</v>
      </c>
    </row>
    <row r="26" spans="1:17" x14ac:dyDescent="0.2">
      <c r="A26" s="5" t="s">
        <v>2533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L26" s="7" t="s">
        <v>2534</v>
      </c>
      <c r="M26" s="9">
        <f t="shared" si="0"/>
        <v>33515</v>
      </c>
      <c r="N26">
        <f>SUM(H107:H108)</f>
        <v>485</v>
      </c>
      <c r="O26" s="8">
        <v>6000</v>
      </c>
      <c r="P26">
        <f>SUM(I107:I108)</f>
        <v>653</v>
      </c>
      <c r="Q26" s="8">
        <f t="shared" si="1"/>
        <v>33347</v>
      </c>
    </row>
    <row r="27" spans="1:17" x14ac:dyDescent="0.2">
      <c r="A27" s="5" t="s">
        <v>2535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N27" s="8">
        <f>SUM(N6:N26)</f>
        <v>366532</v>
      </c>
      <c r="O27" s="8"/>
      <c r="P27" s="8">
        <f>SUM(P6:P26)</f>
        <v>374372</v>
      </c>
    </row>
    <row r="28" spans="1:17" x14ac:dyDescent="0.2">
      <c r="A28" s="5" t="s">
        <v>2536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7" x14ac:dyDescent="0.2">
      <c r="A29" s="5" t="s">
        <v>2537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7" x14ac:dyDescent="0.2">
      <c r="A30" s="5" t="s">
        <v>2538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7" x14ac:dyDescent="0.2">
      <c r="A31" s="5" t="s">
        <v>2539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7" x14ac:dyDescent="0.2">
      <c r="A32" s="5" t="s">
        <v>2540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2" x14ac:dyDescent="0.2">
      <c r="A33" s="5" t="s">
        <v>2541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2" x14ac:dyDescent="0.2">
      <c r="A34" s="5" t="s">
        <v>2542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2" x14ac:dyDescent="0.2">
      <c r="A35" s="5" t="s">
        <v>2543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2" x14ac:dyDescent="0.2">
      <c r="A36" s="5" t="s">
        <v>2544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2" x14ac:dyDescent="0.2">
      <c r="A37" s="5" t="s">
        <v>2545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2" x14ac:dyDescent="0.2">
      <c r="A38" s="5" t="s">
        <v>2546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2" x14ac:dyDescent="0.2">
      <c r="A39" s="5" t="s">
        <v>2547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2" x14ac:dyDescent="0.2">
      <c r="A40" s="5" t="s">
        <v>2548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2" x14ac:dyDescent="0.2">
      <c r="A41" s="5" t="s">
        <v>2549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2" x14ac:dyDescent="0.2">
      <c r="A42" s="5" t="s">
        <v>2550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2" x14ac:dyDescent="0.2">
      <c r="A43" s="5" t="s">
        <v>2551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2" x14ac:dyDescent="0.2">
      <c r="A44" s="5" t="s">
        <v>2552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2" x14ac:dyDescent="0.2">
      <c r="A45" s="5" t="s">
        <v>2553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2" x14ac:dyDescent="0.2">
      <c r="A46" s="5" t="s">
        <v>2554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  <c r="L46" t="s">
        <v>2621</v>
      </c>
    </row>
    <row r="47" spans="1:12" x14ac:dyDescent="0.2">
      <c r="A47" s="5" t="s">
        <v>2555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2" x14ac:dyDescent="0.2">
      <c r="A48" s="5" t="s">
        <v>2556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2557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2558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2559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2560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2561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2562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2563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2564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2565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2566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2567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2568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2569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2570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2571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2572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2573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2574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2575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2576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2577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2578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2579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2580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2581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2582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2583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2584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2585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2586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2587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2588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2589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2590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2591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2592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2593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2594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2595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2596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2597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2598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2599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2600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2601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2602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2603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2604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2605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2606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2607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2608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2609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2610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2611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2612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2613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2614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2615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2616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2617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Student-01</cp:lastModifiedBy>
  <dcterms:created xsi:type="dcterms:W3CDTF">2026-08-03T14:27:04Z</dcterms:created>
  <dcterms:modified xsi:type="dcterms:W3CDTF">2026-10-22T11:51:12Z</dcterms:modified>
</cp:coreProperties>
</file>